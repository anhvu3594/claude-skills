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Estimator" sheetId="1" r:id="rId4"/>
    <sheet state="visible" name="Scoring Guide" sheetId="2" r:id="rId5"/>
    <sheet state="visible" name="Tier Reference" sheetId="3" r:id="rId6"/>
  </sheets>
  <definedNames/>
  <calcPr/>
  <extLst>
    <ext uri="GoogleSheetsCustomDataVersion2">
      <go:sheetsCustomData xmlns:go="http://customooxmlschemas.google.com/" r:id="rId7" roundtripDataChecksum="JPa9KQti1YAGMGK5OWhbygHy1VTtBbvVLvCYsNO797M="/>
    </ext>
  </extLst>
</workbook>
</file>

<file path=xl/sharedStrings.xml><?xml version="1.0" encoding="utf-8"?>
<sst xmlns="http://schemas.openxmlformats.org/spreadsheetml/2006/main" count="126" uniqueCount="103">
  <si>
    <t>SOFTWARE FEATURE COST ESTIMATOR</t>
  </si>
  <si>
    <t>Score each feature 1–5 across all five dimensions. The tool derives a complexity tier and fixed price band automatically.</t>
  </si>
  <si>
    <t>COMPLEXITY TIERS</t>
  </si>
  <si>
    <t>S – Simple   Score 5–11   $500–$1,500</t>
  </si>
  <si>
    <t>M – Medium   Score 12–17   $1,500–$4,000</t>
  </si>
  <si>
    <t>L – Large   Score 18–22   $4,000–$10,000</t>
  </si>
  <si>
    <t>XL – Complex   Score 23–25   $10,000–$25,000</t>
  </si>
  <si>
    <t>FEATURE NAME</t>
  </si>
  <si>
    <t>TECH
COMPLEXITY
(1–5)</t>
  </si>
  <si>
    <t>FEATURE
SIZE
(1–5)</t>
  </si>
  <si>
    <t>DEPEND-
ENCIES
(1–5)</t>
  </si>
  <si>
    <t>UNCER-
TAINTY
(1–5)</t>
  </si>
  <si>
    <t>RISK
(1–5)</t>
  </si>
  <si>
    <t>TOTAL
SCORE</t>
  </si>
  <si>
    <t>TIER</t>
  </si>
  <si>
    <t>PRICE LOW</t>
  </si>
  <si>
    <t>PRICE HIGH</t>
  </si>
  <si>
    <t>MIDPOINT</t>
  </si>
  <si>
    <t>Explanation</t>
  </si>
  <si>
    <t>Infrastructure</t>
  </si>
  <si>
    <t>Complexity: Well-understood AWS services (ECS, RDS, SQS, S3, ALB, CloudWatch), but requires careful setup for security (IAM, VPC), data residency (Singapore), and environment parity (staging vs. production). Size: Covers multiple AWS services that must be configured correctly before any other work can proceed.</t>
  </si>
  <si>
    <t>WhatsApp Integration</t>
  </si>
  <si>
    <t>Complexity: Meta's WhatsApp Cloud API involves webhook verification, template approval, media handling, delivery status tracking, and 24-hour window re-engagement logic. Template approval is outside our control. Size: Bounded scope but each area carries meaningful edge-case handling.</t>
  </si>
  <si>
    <t>Lead Intake &amp; Processing</t>
  </si>
  <si>
    <t>Complexity: Webhook-driven lead ingestion with deduplication and SQS queuing. Logic is straightforward, but the 60-second first-message SLA demands reliable retry handling. Size: A focused, well-defined component that builds on established queue patterns.</t>
  </si>
  <si>
    <t>Conversation Flow Manager</t>
  </si>
  <si>
    <t>Complexity: Built on Typebot (open-source flow builder, self-hosted), eliminating the need to build a visual editor from scratch. Complexity is Medium because Typebot must be customised for WhatsApp-native features (buttons, lists, quick replies) and integrated via webhooks. Size: Large because the number of distinct conversation paths — pricing, tours, trials, FAQs, off-hours, multilingual variants across English, BM, and BI — requires substantial flow design and content authoring.</t>
  </si>
  <si>
    <t>AI Engine (Bedrock)</t>
  </si>
  <si>
    <t>Complexity: Requires prompt engineering in three languages (English, BM, BI), context window management (~3,000 input tokens per message), graceful Bedrock fallback, and output validation to prevent inaccurate responses. Size: Applies to only ~15% of messages, keeping scope bounded despite technical depth.</t>
  </si>
  <si>
    <t>[CRM Platform] Integration</t>
  </si>
  <si>
    <t>Complexity: API authentication, rate limits, pagination, slow responses, and partial failures all require careful handling. Idempotency (no double-bookings) is a hard correctness requirement. Size: Scope is bounded (read slots + write bookings), but edge-case handling is substantial.</t>
  </si>
  <si>
    <t>Scheduling &amp; Reminders</t>
  </si>
  <si>
    <t>Complexity: Job scheduling, timezone handling across [Region A] and [Region B], and failed-delivery recovery follow standard patterns — but correctness is operationally critical since a missed reminder directly increases no-shows. Size: Covers multiple reminder types and failure paths across the full lead funnel.</t>
  </si>
  <si>
    <t>Follow-Up Automation</t>
  </si>
  <si>
    <t>Complexity: SQS-based scheduled jobs with opt-out tracking. Simpler logic than the core flow with fewer edge cases. Size: A focused component that reuses patterns from other scheduling work.</t>
  </si>
  <si>
    <t>Admin Dashboard</t>
  </si>
  <si>
    <t>Complexity: Standard CRUD and reporting patterns, spread across multiple distinct functional areas. Size: Large because of the breadth — gym configuration, conversation viewer, flagged review, performance reports, AI training data upload, and user management all require separate screens and backend endpoints.</t>
  </si>
  <si>
    <t>Privacy &amp; Compliance</t>
  </si>
  <si>
    <t>Complexity: Consent capture, PDPA/UU PDP data export/deletion, and 24-month retention with automatic anonymisation require careful data modelling. Mistakes carry regulatory risk. Size: Well-scoped but touches data models across multiple components.</t>
  </si>
  <si>
    <t>Testing &amp; QA</t>
  </si>
  <si>
    <t>Complexity: End-to-end coverage across WhatsApp, [CRM Platform], Bedrock, and the dashboard — including SLA validation, multilingual checks, and failure-mode testing. Size: Broad surface area reflecting the number of integrated systems.</t>
  </si>
  <si>
    <t>Documentation</t>
  </si>
  <si>
    <t>Complexity: Low technical complexity; requires discipline and attention to completeness. Size: Covers operator runbooks, API references, flow-editor guides, and handover documentation — focused but critical for long-term operation after handover.</t>
  </si>
  <si>
    <t>Deployment &amp; Handover</t>
  </si>
  <si>
    <t>Complexity: CI/CD pipeline setup, staging-to-production promotion, smoke testing, and credential/IP handover involve multiple parties and checklists. Size: Bounded to deployment procedures and handover activities, but procedurally involved.</t>
  </si>
  <si>
    <t>PROJECT TOTAL</t>
  </si>
  <si>
    <t>SCORING GUIDE — COMPLEXITY DIMENSIONS</t>
  </si>
  <si>
    <t>Use these descriptions to assign a consistent 1–5 score for each dimension on the Feature Estimator sheet.</t>
  </si>
  <si>
    <t>TECHNICAL COMPLEXITY</t>
  </si>
  <si>
    <t>Score 1</t>
  </si>
  <si>
    <t>Score 2</t>
  </si>
  <si>
    <t>Score 3</t>
  </si>
  <si>
    <t>Score 4</t>
  </si>
  <si>
    <t>Score 5</t>
  </si>
  <si>
    <t>Technical Complexity</t>
  </si>
  <si>
    <t>Standard CRUD, well-documented library usage, copy-paste patterns</t>
  </si>
  <si>
    <t>Minor customisation of standard patterns, simple state management</t>
  </si>
  <si>
    <t>Custom business logic, moderate algorithm complexity, multiple states</t>
  </si>
  <si>
    <t>Non-trivial algorithms, real-time systems, ML inference, complex data transforms</t>
  </si>
  <si>
    <t>Novel architecture, distributed systems, low-level optimisation, R&amp;D territory</t>
  </si>
  <si>
    <t>FEATURE SIZE</t>
  </si>
  <si>
    <t>Feature Size</t>
  </si>
  <si>
    <t>Single UI element or micro-function, &lt;1 day of work</t>
  </si>
  <si>
    <t>Small self-contained feature, simple form or display component</t>
  </si>
  <si>
    <t>Medium feature with multiple components and backend logic</t>
  </si>
  <si>
    <t>Large feature spanning frontend, backend, DB, and tests</t>
  </si>
  <si>
    <t>Epic-scale feature, multiple sub-features or screens</t>
  </si>
  <si>
    <t>DEPENDENCIES</t>
  </si>
  <si>
    <t>Dependencies</t>
  </si>
  <si>
    <t>Fully standalone, no external services or shared state</t>
  </si>
  <si>
    <t>One internal dependency (e.g. auth check)</t>
  </si>
  <si>
    <t>2–3 internal services or one third-party API</t>
  </si>
  <si>
    <t>Multiple third-party APIs or tightly coupled internal systems</t>
  </si>
  <si>
    <t>Deep cross-system dependencies, legacy integrations, or shared infrastructure changes</t>
  </si>
  <si>
    <t>UNCERTAINTY</t>
  </si>
  <si>
    <t>Uncertainty</t>
  </si>
  <si>
    <t>Fully defined spec, clear acceptance criteria, precedent exists</t>
  </si>
  <si>
    <t>Minor ambiguities, can be resolved with one clarifying question</t>
  </si>
  <si>
    <t>Some open questions, design decisions to be made during build</t>
  </si>
  <si>
    <t>Significant unknowns, exploratory work needed, spec may change</t>
  </si>
  <si>
    <t>Highly experimental, no clear solution path, outcomes unclear</t>
  </si>
  <si>
    <t>RISK</t>
  </si>
  <si>
    <t>Risk</t>
  </si>
  <si>
    <t>Fully reversible, no user data, isolated module</t>
  </si>
  <si>
    <t>Low stakes, easy rollback, minimal user impact</t>
  </si>
  <si>
    <t>Moderate impact if broken, requires testing, affects multiple users</t>
  </si>
  <si>
    <t>Payments, auth, data migrations, or PII — high business impact</t>
  </si>
  <si>
    <t>Core infrastructure, compliance requirements, irreversible operations</t>
  </si>
  <si>
    <t>COMPLEXITY TIER REFERENCE</t>
  </si>
  <si>
    <t>SCORE RANGE</t>
  </si>
  <si>
    <t>TYPICAL EXAMPLES</t>
  </si>
  <si>
    <t>S – Simple</t>
  </si>
  <si>
    <t>5 – 11</t>
  </si>
  <si>
    <t>Landing page component, simple form, read-only dashboard, email notification</t>
  </si>
  <si>
    <t>M – Medium</t>
  </si>
  <si>
    <t>12 – 17</t>
  </si>
  <si>
    <t>User auth, REST API endpoint set, filtered list views, basic admin panel</t>
  </si>
  <si>
    <t>L – Large</t>
  </si>
  <si>
    <t>18 – 22</t>
  </si>
  <si>
    <t>Payment integration, role-based permissions, real-time updates, data pipeline</t>
  </si>
  <si>
    <t>XL – Complex</t>
  </si>
  <si>
    <t>23 – 25</t>
  </si>
  <si>
    <t>AI/ML features, distributed job processing, multi-tenant architecture, compliance modules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</si>
</sst>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3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AAAAAA"/>
      <name val="Arial"/>
    </font>
    <font>
      <sz val="11.0"/>
      <color theme="1"/>
      <name val="Calibri"/>
    </font>
    <font>
      <b/>
      <sz val="9.0"/>
      <color rgb="FF888888"/>
      <name val="Arial"/>
    </font>
    <font>
      <b/>
      <sz val="9.0"/>
      <color rgb="FF0D6E42"/>
      <name val="Arial"/>
    </font>
    <font>
      <b/>
      <sz val="9.0"/>
      <color rgb="FF185FA5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b/>
      <sz val="8.0"/>
      <color rgb="FFFFFFFF"/>
      <name val="Arial"/>
    </font>
    <font>
      <sz val="11.0"/>
      <color rgb="FF000000"/>
      <name val="Arial"/>
    </font>
    <font>
      <b/>
      <sz val="11.0"/>
      <color rgb="FF3B7DD8"/>
      <name val="Arial"/>
    </font>
    <font>
      <b/>
      <sz val="11.0"/>
      <color rgb="FF1A1A1A"/>
      <name val="Arial"/>
    </font>
    <font>
      <b/>
      <sz val="10.0"/>
      <color theme="1"/>
      <name val="Arial"/>
    </font>
    <font>
      <sz val="10.0"/>
      <color rgb="FF1A1A1A"/>
      <name val="Arial"/>
    </font>
    <font>
      <b/>
      <sz val="10.0"/>
      <color rgb="FF1A1A1A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sz val="9.0"/>
      <color rgb="FF888888"/>
      <name val="Arial"/>
    </font>
    <font>
      <b/>
      <sz val="9.0"/>
      <color rgb="FF555555"/>
      <name val="Arial"/>
    </font>
    <font>
      <sz val="9.0"/>
      <color rgb="FF1A1A1A"/>
      <name val="Arial"/>
    </font>
    <font>
      <b/>
      <sz val="9.0"/>
      <color rgb="FFFFFFFF"/>
      <name val="Arial"/>
    </font>
    <font>
      <b/>
      <sz val="10.0"/>
      <color rgb="FF0D6E42"/>
      <name val="Arial"/>
    </font>
    <font>
      <sz val="10.0"/>
      <color rgb="FF0D6E42"/>
      <name val="Arial"/>
    </font>
    <font>
      <color theme="1"/>
      <name val="Calibri"/>
    </font>
    <font>
      <b/>
      <sz val="10.0"/>
      <color rgb="FF185FA5"/>
      <name val="Arial"/>
    </font>
    <font>
      <sz val="10.0"/>
      <color rgb="FF185FA5"/>
      <name val="Arial"/>
    </font>
    <font>
      <b/>
      <sz val="10.0"/>
      <color rgb="FF854F0B"/>
      <name val="Arial"/>
    </font>
    <font>
      <sz val="10.0"/>
      <color rgb="FF854F0B"/>
      <name val="Arial"/>
    </font>
    <font>
      <b/>
      <sz val="10.0"/>
      <color rgb="FFA32D2D"/>
      <name val="Arial"/>
    </font>
    <font>
      <sz val="10.0"/>
      <color rgb="FFA32D2D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2332"/>
        <bgColor rgb="FF1A2332"/>
      </patternFill>
    </fill>
    <fill>
      <patternFill patternType="solid">
        <fgColor rgb="FFF5F6FA"/>
        <bgColor rgb="FFF5F6FA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2D4059"/>
        <bgColor rgb="FF2D4059"/>
      </patternFill>
    </fill>
    <fill>
      <patternFill patternType="solid">
        <fgColor rgb="FFFFFFFF"/>
        <bgColor rgb="FFFFFFFF"/>
      </patternFill>
    </fill>
    <fill>
      <patternFill patternType="solid">
        <fgColor rgb="FFE8EAF0"/>
        <bgColor rgb="FFE8EAF0"/>
      </patternFill>
    </fill>
  </fills>
  <borders count="6">
    <border/>
    <border>
      <left/>
      <top/>
      <bottom/>
    </border>
    <border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horizontal="left" shrinkToFit="0" vertical="center" wrapText="1"/>
    </xf>
    <xf borderId="3" fillId="4" fontId="6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3" fillId="5" fontId="7" numFmtId="0" xfId="0" applyAlignment="1" applyBorder="1" applyFill="1" applyFont="1">
      <alignment horizontal="center" shrinkToFit="0" vertical="center" wrapText="0"/>
    </xf>
    <xf borderId="3" fillId="6" fontId="8" numFmtId="0" xfId="0" applyAlignment="1" applyBorder="1" applyFill="1" applyFont="1">
      <alignment horizontal="center" shrinkToFit="0" vertical="center" wrapText="0"/>
    </xf>
    <xf borderId="3" fillId="7" fontId="9" numFmtId="0" xfId="0" applyAlignment="1" applyBorder="1" applyFill="1" applyFont="1">
      <alignment horizontal="center" shrinkToFit="0" vertical="center" wrapText="0"/>
    </xf>
    <xf borderId="5" fillId="8" fontId="10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wrapText="1"/>
    </xf>
    <xf borderId="5" fillId="9" fontId="12" numFmtId="0" xfId="0" applyAlignment="1" applyBorder="1" applyFill="1" applyFont="1">
      <alignment horizontal="center" shrinkToFit="0" vertical="center" wrapText="0"/>
    </xf>
    <xf borderId="5" fillId="10" fontId="13" numFmtId="0" xfId="0" applyAlignment="1" applyBorder="1" applyFill="1" applyFont="1">
      <alignment horizontal="center" shrinkToFit="0" vertical="center" wrapText="0"/>
    </xf>
    <xf borderId="5" fillId="9" fontId="14" numFmtId="0" xfId="0" applyAlignment="1" applyBorder="1" applyFont="1">
      <alignment horizontal="center" shrinkToFit="0" vertical="center" wrapText="0"/>
    </xf>
    <xf borderId="5" fillId="9" fontId="15" numFmtId="164" xfId="0" applyAlignment="1" applyBorder="1" applyFont="1" applyNumberFormat="1">
      <alignment horizontal="right" shrinkToFit="0" vertical="center" wrapText="0"/>
    </xf>
    <xf borderId="5" fillId="10" fontId="16" numFmtId="164" xfId="0" applyAlignment="1" applyBorder="1" applyFont="1" applyNumberFormat="1">
      <alignment horizontal="right" shrinkToFit="0" vertical="center" wrapText="0"/>
    </xf>
    <xf borderId="5" fillId="3" fontId="12" numFmtId="0" xfId="0" applyAlignment="1" applyBorder="1" applyFont="1">
      <alignment horizontal="center" shrinkToFit="0" vertical="center" wrapText="0"/>
    </xf>
    <xf borderId="5" fillId="3" fontId="14" numFmtId="0" xfId="0" applyAlignment="1" applyBorder="1" applyFont="1">
      <alignment horizontal="center" shrinkToFit="0" vertical="center" wrapText="0"/>
    </xf>
    <xf borderId="5" fillId="3" fontId="15" numFmtId="164" xfId="0" applyAlignment="1" applyBorder="1" applyFont="1" applyNumberFormat="1">
      <alignment horizontal="right" shrinkToFit="0" vertical="center" wrapText="0"/>
    </xf>
    <xf borderId="5" fillId="3" fontId="12" numFmtId="0" xfId="0" applyAlignment="1" applyBorder="1" applyFont="1">
      <alignment horizontal="center" readingOrder="0" shrinkToFit="0" vertical="center" wrapText="0"/>
    </xf>
    <xf borderId="5" fillId="3" fontId="15" numFmtId="0" xfId="0" applyAlignment="1" applyBorder="1" applyFont="1">
      <alignment horizontal="left" shrinkToFit="0" vertical="center" wrapText="1"/>
    </xf>
    <xf borderId="5" fillId="9" fontId="15" numFmtId="0" xfId="0" applyAlignment="1" applyBorder="1" applyFont="1">
      <alignment horizontal="left" shrinkToFit="0" vertical="center" wrapText="1"/>
    </xf>
    <xf borderId="3" fillId="2" fontId="17" numFmtId="0" xfId="0" applyAlignment="1" applyBorder="1" applyFont="1">
      <alignment horizontal="right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5" fillId="2" fontId="18" numFmtId="164" xfId="0" applyAlignment="1" applyBorder="1" applyFont="1" applyNumberFormat="1">
      <alignment horizontal="right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3" fillId="8" fontId="17" numFmtId="0" xfId="0" applyAlignment="1" applyBorder="1" applyFont="1">
      <alignment horizontal="left" shrinkToFit="0" vertical="center" wrapText="0"/>
    </xf>
    <xf borderId="5" fillId="10" fontId="21" numFmtId="0" xfId="0" applyAlignment="1" applyBorder="1" applyFont="1">
      <alignment horizontal="center" shrinkToFit="0" vertical="center" wrapText="0"/>
    </xf>
    <xf borderId="5" fillId="3" fontId="21" numFmtId="0" xfId="0" applyAlignment="1" applyBorder="1" applyFont="1">
      <alignment horizontal="left" shrinkToFit="0" vertical="center" wrapText="1"/>
    </xf>
    <xf borderId="5" fillId="9" fontId="22" numFmtId="0" xfId="0" applyAlignment="1" applyBorder="1" applyFont="1">
      <alignment horizontal="left" shrinkToFit="0" vertical="top" wrapText="1"/>
    </xf>
    <xf borderId="5" fillId="8" fontId="23" numFmtId="0" xfId="0" applyAlignment="1" applyBorder="1" applyFont="1">
      <alignment horizontal="center" shrinkToFit="0" vertical="center" wrapText="0"/>
    </xf>
    <xf borderId="5" fillId="4" fontId="24" numFmtId="0" xfId="0" applyAlignment="1" applyBorder="1" applyFont="1">
      <alignment horizontal="center" shrinkToFit="0" vertical="center" wrapText="1"/>
    </xf>
    <xf borderId="5" fillId="4" fontId="25" numFmtId="164" xfId="0" applyAlignment="1" applyBorder="1" applyFont="1" applyNumberFormat="1">
      <alignment horizontal="center" shrinkToFit="0" vertical="center" wrapText="1"/>
    </xf>
    <xf borderId="5" fillId="4" fontId="25" numFmtId="0" xfId="0" applyAlignment="1" applyBorder="1" applyFont="1">
      <alignment horizontal="left" shrinkToFit="0" vertical="center" wrapText="1"/>
    </xf>
    <xf borderId="0" fillId="0" fontId="26" numFmtId="0" xfId="0" applyFont="1"/>
    <xf borderId="5" fillId="5" fontId="27" numFmtId="0" xfId="0" applyAlignment="1" applyBorder="1" applyFont="1">
      <alignment horizontal="center" shrinkToFit="0" vertical="center" wrapText="1"/>
    </xf>
    <xf borderId="5" fillId="5" fontId="28" numFmtId="164" xfId="0" applyAlignment="1" applyBorder="1" applyFont="1" applyNumberFormat="1">
      <alignment horizontal="center" shrinkToFit="0" vertical="center" wrapText="1"/>
    </xf>
    <xf borderId="5" fillId="5" fontId="28" numFmtId="0" xfId="0" applyAlignment="1" applyBorder="1" applyFont="1">
      <alignment horizontal="left" shrinkToFit="0" vertical="center" wrapText="1"/>
    </xf>
    <xf borderId="5" fillId="6" fontId="29" numFmtId="0" xfId="0" applyAlignment="1" applyBorder="1" applyFont="1">
      <alignment horizontal="center" shrinkToFit="0" vertical="center" wrapText="1"/>
    </xf>
    <xf borderId="5" fillId="6" fontId="30" numFmtId="164" xfId="0" applyAlignment="1" applyBorder="1" applyFont="1" applyNumberFormat="1">
      <alignment horizontal="center" shrinkToFit="0" vertical="center" wrapText="1"/>
    </xf>
    <xf borderId="5" fillId="6" fontId="30" numFmtId="0" xfId="0" applyAlignment="1" applyBorder="1" applyFont="1">
      <alignment horizontal="left" shrinkToFit="0" vertical="center" wrapText="1"/>
    </xf>
    <xf borderId="5" fillId="7" fontId="31" numFmtId="0" xfId="0" applyAlignment="1" applyBorder="1" applyFont="1">
      <alignment horizontal="center" shrinkToFit="0" vertical="center" wrapText="1"/>
    </xf>
    <xf borderId="5" fillId="7" fontId="32" numFmtId="164" xfId="0" applyAlignment="1" applyBorder="1" applyFont="1" applyNumberFormat="1">
      <alignment horizontal="center" shrinkToFit="0" vertical="center" wrapText="1"/>
    </xf>
    <xf borderId="5" fillId="7" fontId="3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E1F5EE"/>
          <bgColor rgb="FFE1F5EE"/>
        </patternFill>
      </fill>
      <border/>
    </dxf>
    <dxf>
      <font/>
      <fill>
        <patternFill patternType="solid">
          <fgColor rgb="FFE6F1FB"/>
          <bgColor rgb="FFE6F1FB"/>
        </patternFill>
      </fill>
      <border/>
    </dxf>
    <dxf>
      <font/>
      <fill>
        <patternFill patternType="solid">
          <fgColor rgb="FFFAEEDA"/>
          <bgColor rgb="FFFAEEDA"/>
        </patternFill>
      </fill>
      <border/>
    </dxf>
    <dxf>
      <font/>
      <fill>
        <patternFill patternType="solid">
          <fgColor rgb="FFFCEBEB"/>
          <bgColor rgb="FFFCEBEB"/>
        </patternFill>
      </fill>
      <border/>
    </dxf>
  </d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14"/>
    <col customWidth="1" min="2" max="2" width="14.29"/>
    <col customWidth="1" min="3" max="3" width="16.29"/>
    <col customWidth="1" min="4" max="4" width="16.0"/>
    <col customWidth="1" min="5" max="5" width="17.29"/>
    <col customWidth="1" min="6" max="6" width="17.0"/>
    <col customWidth="1" min="7" max="7" width="10.0"/>
    <col customWidth="1" min="9" max="11" width="13.0"/>
    <col customWidth="1" min="12" max="12" width="30.57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7.5" customHeight="1">
      <c r="A3" s="4"/>
      <c r="B3" s="2"/>
      <c r="C3" s="2"/>
      <c r="D3" s="2"/>
      <c r="E3" s="2"/>
      <c r="F3" s="2"/>
      <c r="G3" s="2"/>
      <c r="H3" s="2"/>
      <c r="I3" s="2"/>
      <c r="J3" s="2"/>
      <c r="K3" s="2"/>
    </row>
    <row r="4" ht="19.5" customHeight="1">
      <c r="A4" s="5" t="s">
        <v>2</v>
      </c>
      <c r="C4" s="6" t="s">
        <v>3</v>
      </c>
      <c r="D4" s="7"/>
      <c r="E4" s="8" t="s">
        <v>4</v>
      </c>
      <c r="F4" s="7"/>
      <c r="G4" s="9" t="s">
        <v>5</v>
      </c>
      <c r="H4" s="7"/>
      <c r="I4" s="10" t="s">
        <v>6</v>
      </c>
      <c r="J4" s="7"/>
    </row>
    <row r="5" ht="6.0" customHeight="1">
      <c r="A5" s="4"/>
      <c r="B5" s="2"/>
      <c r="C5" s="2"/>
      <c r="D5" s="2"/>
      <c r="E5" s="2"/>
      <c r="F5" s="2"/>
      <c r="G5" s="2"/>
      <c r="H5" s="2"/>
      <c r="I5" s="2"/>
      <c r="J5" s="2"/>
      <c r="K5" s="2"/>
    </row>
    <row r="6" ht="42.0" customHeight="1">
      <c r="A6" s="11" t="s">
        <v>7</v>
      </c>
      <c r="B6" s="11" t="s">
        <v>8</v>
      </c>
      <c r="C6" s="11" t="s">
        <v>9</v>
      </c>
      <c r="D6" s="11" t="s">
        <v>10</v>
      </c>
      <c r="E6" s="11" t="s">
        <v>11</v>
      </c>
      <c r="F6" s="11" t="s">
        <v>12</v>
      </c>
      <c r="G6" s="11" t="s">
        <v>13</v>
      </c>
      <c r="H6" s="11" t="s">
        <v>14</v>
      </c>
      <c r="I6" s="11" t="s">
        <v>15</v>
      </c>
      <c r="J6" s="11" t="s">
        <v>16</v>
      </c>
      <c r="K6" s="11" t="s">
        <v>17</v>
      </c>
      <c r="L6" s="12" t="s">
        <v>18</v>
      </c>
    </row>
    <row r="7" ht="39.0" customHeight="1">
      <c r="A7" s="13" t="s">
        <v>19</v>
      </c>
      <c r="B7" s="14">
        <v>1.0</v>
      </c>
      <c r="C7" s="14">
        <v>3.0</v>
      </c>
      <c r="D7" s="14">
        <v>3.0</v>
      </c>
      <c r="E7" s="14">
        <v>3.0</v>
      </c>
      <c r="F7" s="14">
        <v>3.0</v>
      </c>
      <c r="G7" s="15">
        <f t="shared" ref="G7:G26" si="1">IF(COUNTA(B7:F7)=5,SUM(B7:F7),"")</f>
        <v>13</v>
      </c>
      <c r="H7" s="16" t="str">
        <f t="shared" ref="H7:H26" si="2">IF(G7="","",IF(G7&lt;=11,"S – Simple",IF(G7&lt;=17,"M – Medium",IF(G7&lt;=22,"L – Large","XL – Complex"))))</f>
        <v>M – Medium</v>
      </c>
      <c r="I7" s="17">
        <f t="shared" ref="I7:I26" si="3">IF(G7="","",IF(G7&lt;=11,500,IF(G7&lt;=17,1500,IF(G7&lt;=22,4000,10000))))</f>
        <v>1500</v>
      </c>
      <c r="J7" s="17">
        <f t="shared" ref="J7:J26" si="4">IF(G7="","",IF(G7&lt;=11,1500,IF(G7&lt;=17,4000,IF(G7&lt;=22,10000,25000))))</f>
        <v>4000</v>
      </c>
      <c r="K7" s="18">
        <f t="shared" ref="K7:K26" si="5">IF(I7="","",(I7+J7)/2)</f>
        <v>2750</v>
      </c>
      <c r="L7" s="13" t="s">
        <v>20</v>
      </c>
    </row>
    <row r="8" ht="29.25" customHeight="1">
      <c r="A8" s="13" t="s">
        <v>21</v>
      </c>
      <c r="B8" s="19">
        <v>4.0</v>
      </c>
      <c r="C8" s="19">
        <v>4.0</v>
      </c>
      <c r="D8" s="19">
        <v>4.0</v>
      </c>
      <c r="E8" s="19">
        <v>4.0</v>
      </c>
      <c r="F8" s="19">
        <v>4.0</v>
      </c>
      <c r="G8" s="15">
        <f t="shared" si="1"/>
        <v>20</v>
      </c>
      <c r="H8" s="20" t="str">
        <f t="shared" si="2"/>
        <v>L – Large</v>
      </c>
      <c r="I8" s="21">
        <f t="shared" si="3"/>
        <v>4000</v>
      </c>
      <c r="J8" s="21">
        <f t="shared" si="4"/>
        <v>10000</v>
      </c>
      <c r="K8" s="18">
        <f t="shared" si="5"/>
        <v>7000</v>
      </c>
      <c r="L8" s="13" t="s">
        <v>22</v>
      </c>
    </row>
    <row r="9" ht="33.75" customHeight="1">
      <c r="A9" s="13" t="s">
        <v>23</v>
      </c>
      <c r="B9" s="14">
        <v>3.0</v>
      </c>
      <c r="C9" s="14">
        <v>3.0</v>
      </c>
      <c r="D9" s="14">
        <v>4.0</v>
      </c>
      <c r="E9" s="14">
        <v>2.0</v>
      </c>
      <c r="F9" s="14">
        <v>4.0</v>
      </c>
      <c r="G9" s="15">
        <f t="shared" si="1"/>
        <v>16</v>
      </c>
      <c r="H9" s="16" t="str">
        <f t="shared" si="2"/>
        <v>M – Medium</v>
      </c>
      <c r="I9" s="17">
        <f t="shared" si="3"/>
        <v>1500</v>
      </c>
      <c r="J9" s="17">
        <f t="shared" si="4"/>
        <v>4000</v>
      </c>
      <c r="K9" s="18">
        <f t="shared" si="5"/>
        <v>2750</v>
      </c>
      <c r="L9" s="13" t="s">
        <v>24</v>
      </c>
    </row>
    <row r="10" ht="42.0" customHeight="1">
      <c r="A10" s="13" t="s">
        <v>25</v>
      </c>
      <c r="B10" s="19">
        <v>2.0</v>
      </c>
      <c r="C10" s="19">
        <v>3.0</v>
      </c>
      <c r="D10" s="19">
        <v>2.0</v>
      </c>
      <c r="E10" s="19">
        <v>1.0</v>
      </c>
      <c r="F10" s="19">
        <v>1.0</v>
      </c>
      <c r="G10" s="15">
        <f t="shared" si="1"/>
        <v>9</v>
      </c>
      <c r="H10" s="20" t="str">
        <f t="shared" si="2"/>
        <v>S – Simple</v>
      </c>
      <c r="I10" s="21">
        <f t="shared" si="3"/>
        <v>500</v>
      </c>
      <c r="J10" s="21">
        <f t="shared" si="4"/>
        <v>1500</v>
      </c>
      <c r="K10" s="18">
        <f t="shared" si="5"/>
        <v>1000</v>
      </c>
      <c r="L10" s="13" t="s">
        <v>26</v>
      </c>
    </row>
    <row r="11" ht="47.25" customHeight="1">
      <c r="A11" s="13" t="s">
        <v>27</v>
      </c>
      <c r="B11" s="14">
        <v>4.0</v>
      </c>
      <c r="C11" s="14">
        <v>3.0</v>
      </c>
      <c r="D11" s="14">
        <v>3.0</v>
      </c>
      <c r="E11" s="14">
        <v>3.0</v>
      </c>
      <c r="F11" s="14">
        <v>2.0</v>
      </c>
      <c r="G11" s="15">
        <f t="shared" si="1"/>
        <v>15</v>
      </c>
      <c r="H11" s="16" t="str">
        <f t="shared" si="2"/>
        <v>M – Medium</v>
      </c>
      <c r="I11" s="17">
        <f t="shared" si="3"/>
        <v>1500</v>
      </c>
      <c r="J11" s="17">
        <f t="shared" si="4"/>
        <v>4000</v>
      </c>
      <c r="K11" s="18">
        <f t="shared" si="5"/>
        <v>2750</v>
      </c>
      <c r="L11" s="13" t="s">
        <v>28</v>
      </c>
    </row>
    <row r="12" ht="21.75" customHeight="1">
      <c r="A12" s="13" t="s">
        <v>29</v>
      </c>
      <c r="B12" s="22"/>
      <c r="C12" s="19"/>
      <c r="D12" s="19"/>
      <c r="E12" s="19"/>
      <c r="F12" s="19"/>
      <c r="G12" s="15" t="str">
        <f t="shared" si="1"/>
        <v/>
      </c>
      <c r="H12" s="16" t="str">
        <f t="shared" si="2"/>
        <v/>
      </c>
      <c r="I12" s="17" t="str">
        <f t="shared" si="3"/>
        <v/>
      </c>
      <c r="J12" s="17" t="str">
        <f t="shared" si="4"/>
        <v/>
      </c>
      <c r="K12" s="18" t="str">
        <f t="shared" si="5"/>
        <v/>
      </c>
      <c r="L12" s="13" t="s">
        <v>30</v>
      </c>
    </row>
    <row r="13" ht="21.75" customHeight="1">
      <c r="A13" s="13" t="s">
        <v>31</v>
      </c>
      <c r="B13" s="14"/>
      <c r="C13" s="14"/>
      <c r="D13" s="14"/>
      <c r="E13" s="14"/>
      <c r="F13" s="14"/>
      <c r="G13" s="15" t="str">
        <f t="shared" si="1"/>
        <v/>
      </c>
      <c r="H13" s="16" t="str">
        <f t="shared" si="2"/>
        <v/>
      </c>
      <c r="I13" s="17" t="str">
        <f t="shared" si="3"/>
        <v/>
      </c>
      <c r="J13" s="17" t="str">
        <f t="shared" si="4"/>
        <v/>
      </c>
      <c r="K13" s="18" t="str">
        <f t="shared" si="5"/>
        <v/>
      </c>
      <c r="L13" s="13" t="s">
        <v>32</v>
      </c>
    </row>
    <row r="14" ht="21.75" customHeight="1">
      <c r="A14" s="13" t="s">
        <v>33</v>
      </c>
      <c r="B14" s="19"/>
      <c r="C14" s="19"/>
      <c r="D14" s="19"/>
      <c r="E14" s="19"/>
      <c r="F14" s="19"/>
      <c r="G14" s="15" t="str">
        <f t="shared" si="1"/>
        <v/>
      </c>
      <c r="H14" s="16" t="str">
        <f t="shared" si="2"/>
        <v/>
      </c>
      <c r="I14" s="17" t="str">
        <f t="shared" si="3"/>
        <v/>
      </c>
      <c r="J14" s="17" t="str">
        <f t="shared" si="4"/>
        <v/>
      </c>
      <c r="K14" s="18" t="str">
        <f t="shared" si="5"/>
        <v/>
      </c>
      <c r="L14" s="13" t="s">
        <v>34</v>
      </c>
    </row>
    <row r="15" ht="21.75" customHeight="1">
      <c r="A15" s="13" t="s">
        <v>35</v>
      </c>
      <c r="B15" s="14"/>
      <c r="C15" s="14"/>
      <c r="D15" s="14"/>
      <c r="E15" s="14"/>
      <c r="F15" s="14"/>
      <c r="G15" s="15" t="str">
        <f t="shared" si="1"/>
        <v/>
      </c>
      <c r="H15" s="16" t="str">
        <f t="shared" si="2"/>
        <v/>
      </c>
      <c r="I15" s="17" t="str">
        <f t="shared" si="3"/>
        <v/>
      </c>
      <c r="J15" s="17" t="str">
        <f t="shared" si="4"/>
        <v/>
      </c>
      <c r="K15" s="18" t="str">
        <f t="shared" si="5"/>
        <v/>
      </c>
      <c r="L15" s="13" t="s">
        <v>36</v>
      </c>
    </row>
    <row r="16" ht="21.75" customHeight="1">
      <c r="A16" s="13" t="s">
        <v>37</v>
      </c>
      <c r="B16" s="19"/>
      <c r="C16" s="19"/>
      <c r="D16" s="19"/>
      <c r="E16" s="19"/>
      <c r="F16" s="19"/>
      <c r="G16" s="15" t="str">
        <f t="shared" si="1"/>
        <v/>
      </c>
      <c r="H16" s="16" t="str">
        <f t="shared" si="2"/>
        <v/>
      </c>
      <c r="I16" s="17" t="str">
        <f t="shared" si="3"/>
        <v/>
      </c>
      <c r="J16" s="17" t="str">
        <f t="shared" si="4"/>
        <v/>
      </c>
      <c r="K16" s="18" t="str">
        <f t="shared" si="5"/>
        <v/>
      </c>
      <c r="L16" s="13" t="s">
        <v>38</v>
      </c>
    </row>
    <row r="17" ht="21.75" customHeight="1">
      <c r="A17" s="13" t="s">
        <v>39</v>
      </c>
      <c r="B17" s="14"/>
      <c r="C17" s="14"/>
      <c r="D17" s="14"/>
      <c r="E17" s="14"/>
      <c r="F17" s="14"/>
      <c r="G17" s="15" t="str">
        <f t="shared" si="1"/>
        <v/>
      </c>
      <c r="H17" s="16" t="str">
        <f t="shared" si="2"/>
        <v/>
      </c>
      <c r="I17" s="17" t="str">
        <f t="shared" si="3"/>
        <v/>
      </c>
      <c r="J17" s="17" t="str">
        <f t="shared" si="4"/>
        <v/>
      </c>
      <c r="K17" s="18" t="str">
        <f t="shared" si="5"/>
        <v/>
      </c>
      <c r="L17" s="13" t="s">
        <v>40</v>
      </c>
    </row>
    <row r="18" ht="21.75" customHeight="1">
      <c r="A18" s="13" t="s">
        <v>41</v>
      </c>
      <c r="B18" s="19"/>
      <c r="C18" s="19"/>
      <c r="D18" s="19"/>
      <c r="E18" s="19"/>
      <c r="F18" s="19"/>
      <c r="G18" s="15" t="str">
        <f t="shared" si="1"/>
        <v/>
      </c>
      <c r="H18" s="16" t="str">
        <f t="shared" si="2"/>
        <v/>
      </c>
      <c r="I18" s="17" t="str">
        <f t="shared" si="3"/>
        <v/>
      </c>
      <c r="J18" s="17" t="str">
        <f t="shared" si="4"/>
        <v/>
      </c>
      <c r="K18" s="18" t="str">
        <f t="shared" si="5"/>
        <v/>
      </c>
      <c r="L18" s="13" t="s">
        <v>42</v>
      </c>
    </row>
    <row r="19" ht="21.75" customHeight="1">
      <c r="A19" s="13" t="s">
        <v>43</v>
      </c>
      <c r="B19" s="14"/>
      <c r="C19" s="14"/>
      <c r="D19" s="14"/>
      <c r="E19" s="14"/>
      <c r="F19" s="14"/>
      <c r="G19" s="15" t="str">
        <f t="shared" si="1"/>
        <v/>
      </c>
      <c r="H19" s="16" t="str">
        <f t="shared" si="2"/>
        <v/>
      </c>
      <c r="I19" s="17" t="str">
        <f t="shared" si="3"/>
        <v/>
      </c>
      <c r="J19" s="17" t="str">
        <f t="shared" si="4"/>
        <v/>
      </c>
      <c r="K19" s="18" t="str">
        <f t="shared" si="5"/>
        <v/>
      </c>
      <c r="L19" s="13" t="s">
        <v>44</v>
      </c>
    </row>
    <row r="20" ht="21.75" customHeight="1">
      <c r="A20" s="23"/>
      <c r="B20" s="19"/>
      <c r="C20" s="19"/>
      <c r="D20" s="19"/>
      <c r="E20" s="19"/>
      <c r="F20" s="19"/>
      <c r="G20" s="15" t="str">
        <f t="shared" si="1"/>
        <v/>
      </c>
      <c r="H20" s="20" t="str">
        <f t="shared" si="2"/>
        <v/>
      </c>
      <c r="I20" s="21" t="str">
        <f t="shared" si="3"/>
        <v/>
      </c>
      <c r="J20" s="21" t="str">
        <f t="shared" si="4"/>
        <v/>
      </c>
      <c r="K20" s="18" t="str">
        <f t="shared" si="5"/>
        <v/>
      </c>
    </row>
    <row r="21" ht="21.75" customHeight="1">
      <c r="A21" s="24"/>
      <c r="B21" s="14"/>
      <c r="C21" s="14"/>
      <c r="D21" s="14"/>
      <c r="E21" s="14"/>
      <c r="F21" s="14"/>
      <c r="G21" s="15" t="str">
        <f t="shared" si="1"/>
        <v/>
      </c>
      <c r="H21" s="16" t="str">
        <f t="shared" si="2"/>
        <v/>
      </c>
      <c r="I21" s="17" t="str">
        <f t="shared" si="3"/>
        <v/>
      </c>
      <c r="J21" s="17" t="str">
        <f t="shared" si="4"/>
        <v/>
      </c>
      <c r="K21" s="18" t="str">
        <f t="shared" si="5"/>
        <v/>
      </c>
    </row>
    <row r="22" ht="21.75" customHeight="1">
      <c r="A22" s="23"/>
      <c r="B22" s="19"/>
      <c r="C22" s="19"/>
      <c r="D22" s="19"/>
      <c r="E22" s="19"/>
      <c r="F22" s="19"/>
      <c r="G22" s="15" t="str">
        <f t="shared" si="1"/>
        <v/>
      </c>
      <c r="H22" s="20" t="str">
        <f t="shared" si="2"/>
        <v/>
      </c>
      <c r="I22" s="21" t="str">
        <f t="shared" si="3"/>
        <v/>
      </c>
      <c r="J22" s="21" t="str">
        <f t="shared" si="4"/>
        <v/>
      </c>
      <c r="K22" s="18" t="str">
        <f t="shared" si="5"/>
        <v/>
      </c>
    </row>
    <row r="23" ht="21.75" customHeight="1">
      <c r="A23" s="24"/>
      <c r="B23" s="14"/>
      <c r="C23" s="14"/>
      <c r="D23" s="14"/>
      <c r="E23" s="14"/>
      <c r="F23" s="14"/>
      <c r="G23" s="15" t="str">
        <f t="shared" si="1"/>
        <v/>
      </c>
      <c r="H23" s="16" t="str">
        <f t="shared" si="2"/>
        <v/>
      </c>
      <c r="I23" s="17" t="str">
        <f t="shared" si="3"/>
        <v/>
      </c>
      <c r="J23" s="17" t="str">
        <f t="shared" si="4"/>
        <v/>
      </c>
      <c r="K23" s="18" t="str">
        <f t="shared" si="5"/>
        <v/>
      </c>
    </row>
    <row r="24" ht="21.75" customHeight="1">
      <c r="A24" s="23"/>
      <c r="B24" s="19"/>
      <c r="C24" s="19"/>
      <c r="D24" s="19"/>
      <c r="E24" s="19"/>
      <c r="F24" s="19"/>
      <c r="G24" s="15" t="str">
        <f t="shared" si="1"/>
        <v/>
      </c>
      <c r="H24" s="20" t="str">
        <f t="shared" si="2"/>
        <v/>
      </c>
      <c r="I24" s="21" t="str">
        <f t="shared" si="3"/>
        <v/>
      </c>
      <c r="J24" s="21" t="str">
        <f t="shared" si="4"/>
        <v/>
      </c>
      <c r="K24" s="18" t="str">
        <f t="shared" si="5"/>
        <v/>
      </c>
    </row>
    <row r="25" ht="21.75" customHeight="1">
      <c r="A25" s="24"/>
      <c r="B25" s="14"/>
      <c r="C25" s="14"/>
      <c r="D25" s="14"/>
      <c r="E25" s="14"/>
      <c r="F25" s="14"/>
      <c r="G25" s="15" t="str">
        <f t="shared" si="1"/>
        <v/>
      </c>
      <c r="H25" s="16" t="str">
        <f t="shared" si="2"/>
        <v/>
      </c>
      <c r="I25" s="17" t="str">
        <f t="shared" si="3"/>
        <v/>
      </c>
      <c r="J25" s="17" t="str">
        <f t="shared" si="4"/>
        <v/>
      </c>
      <c r="K25" s="18" t="str">
        <f t="shared" si="5"/>
        <v/>
      </c>
    </row>
    <row r="26" ht="21.75" customHeight="1">
      <c r="A26" s="23"/>
      <c r="B26" s="19"/>
      <c r="C26" s="19"/>
      <c r="D26" s="19"/>
      <c r="E26" s="19"/>
      <c r="F26" s="19"/>
      <c r="G26" s="15" t="str">
        <f t="shared" si="1"/>
        <v/>
      </c>
      <c r="H26" s="20" t="str">
        <f t="shared" si="2"/>
        <v/>
      </c>
      <c r="I26" s="21" t="str">
        <f t="shared" si="3"/>
        <v/>
      </c>
      <c r="J26" s="21" t="str">
        <f t="shared" si="4"/>
        <v/>
      </c>
      <c r="K26" s="18" t="str">
        <f t="shared" si="5"/>
        <v/>
      </c>
    </row>
    <row r="27" ht="25.5" customHeight="1">
      <c r="A27" s="25" t="s">
        <v>45</v>
      </c>
      <c r="B27" s="7"/>
      <c r="C27" s="7"/>
      <c r="D27" s="7"/>
      <c r="E27" s="7"/>
      <c r="F27" s="7"/>
      <c r="G27" s="26">
        <f>SUMIF(G7:G26,"&gt;0")</f>
        <v>73</v>
      </c>
      <c r="H27" s="26" t="str">
        <f>COUNTA(A7:A26)&amp;" features"</f>
        <v>13 features</v>
      </c>
      <c r="I27" s="27">
        <f t="shared" ref="I27:K27" si="6">SUMIF(I7:I26,"&gt;0")</f>
        <v>9000</v>
      </c>
      <c r="J27" s="27">
        <f t="shared" si="6"/>
        <v>23500</v>
      </c>
      <c r="K27" s="27">
        <f t="shared" si="6"/>
        <v>16250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4:J4"/>
    <mergeCell ref="A5:K5"/>
    <mergeCell ref="A27:F27"/>
    <mergeCell ref="A1:K1"/>
    <mergeCell ref="A2:K2"/>
    <mergeCell ref="A3:K3"/>
    <mergeCell ref="A4:B4"/>
    <mergeCell ref="C4:D4"/>
    <mergeCell ref="E4:F4"/>
    <mergeCell ref="G4:H4"/>
  </mergeCells>
  <conditionalFormatting sqref="H7:H26">
    <cfRule type="expression" dxfId="0" priority="1">
      <formula>H7="S – Simple"</formula>
    </cfRule>
  </conditionalFormatting>
  <conditionalFormatting sqref="H7:H26">
    <cfRule type="expression" dxfId="1" priority="2">
      <formula>H7="M – Medium"</formula>
    </cfRule>
  </conditionalFormatting>
  <conditionalFormatting sqref="H7:H26">
    <cfRule type="expression" dxfId="2" priority="3">
      <formula>H7="L – Large"</formula>
    </cfRule>
  </conditionalFormatting>
  <conditionalFormatting sqref="H7:H26">
    <cfRule type="expression" dxfId="3" priority="4">
      <formula>H7="XL – Complex"</formula>
    </cfRule>
  </conditionalFormatting>
  <dataValidations>
    <dataValidation type="decimal" allowBlank="1" sqref="B7:F26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.0"/>
    <col customWidth="1" min="3" max="7" width="30.0"/>
    <col customWidth="1" min="8" max="26" width="8.71"/>
  </cols>
  <sheetData>
    <row r="1" ht="27.75" customHeight="1">
      <c r="A1" s="28" t="s">
        <v>46</v>
      </c>
      <c r="B1" s="2"/>
      <c r="C1" s="2"/>
      <c r="D1" s="2"/>
      <c r="E1" s="2"/>
      <c r="F1" s="2"/>
      <c r="G1" s="2"/>
    </row>
    <row r="2" ht="15.75" customHeight="1">
      <c r="A2" s="29" t="s">
        <v>47</v>
      </c>
      <c r="B2" s="2"/>
      <c r="C2" s="2"/>
      <c r="D2" s="2"/>
      <c r="E2" s="2"/>
      <c r="F2" s="2"/>
      <c r="G2" s="2"/>
    </row>
    <row r="4" ht="19.5" customHeight="1">
      <c r="A4" s="30" t="s">
        <v>48</v>
      </c>
      <c r="B4" s="7"/>
      <c r="C4" s="7"/>
      <c r="D4" s="7"/>
      <c r="E4" s="7"/>
      <c r="F4" s="7"/>
      <c r="G4" s="7"/>
    </row>
    <row r="5" ht="15.75" customHeight="1">
      <c r="A5" s="31"/>
      <c r="C5" s="31" t="s">
        <v>49</v>
      </c>
      <c r="D5" s="31" t="s">
        <v>50</v>
      </c>
      <c r="E5" s="31" t="s">
        <v>51</v>
      </c>
      <c r="F5" s="31" t="s">
        <v>52</v>
      </c>
      <c r="G5" s="31" t="s">
        <v>53</v>
      </c>
    </row>
    <row r="6" ht="51.75" customHeight="1">
      <c r="A6" s="32" t="s">
        <v>54</v>
      </c>
      <c r="C6" s="33" t="s">
        <v>55</v>
      </c>
      <c r="D6" s="33" t="s">
        <v>56</v>
      </c>
      <c r="E6" s="33" t="s">
        <v>57</v>
      </c>
      <c r="F6" s="33" t="s">
        <v>58</v>
      </c>
      <c r="G6" s="33" t="s">
        <v>59</v>
      </c>
    </row>
    <row r="7" ht="6.0" customHeight="1"/>
    <row r="8" ht="19.5" customHeight="1">
      <c r="A8" s="30" t="s">
        <v>60</v>
      </c>
      <c r="B8" s="7"/>
      <c r="C8" s="7"/>
      <c r="D8" s="7"/>
      <c r="E8" s="7"/>
      <c r="F8" s="7"/>
      <c r="G8" s="7"/>
    </row>
    <row r="9" ht="15.75" customHeight="1">
      <c r="A9" s="31"/>
      <c r="C9" s="31" t="s">
        <v>49</v>
      </c>
      <c r="D9" s="31" t="s">
        <v>50</v>
      </c>
      <c r="E9" s="31" t="s">
        <v>51</v>
      </c>
      <c r="F9" s="31" t="s">
        <v>52</v>
      </c>
      <c r="G9" s="31" t="s">
        <v>53</v>
      </c>
    </row>
    <row r="10" ht="51.75" customHeight="1">
      <c r="A10" s="32" t="s">
        <v>61</v>
      </c>
      <c r="C10" s="33" t="s">
        <v>62</v>
      </c>
      <c r="D10" s="33" t="s">
        <v>63</v>
      </c>
      <c r="E10" s="33" t="s">
        <v>64</v>
      </c>
      <c r="F10" s="33" t="s">
        <v>65</v>
      </c>
      <c r="G10" s="33" t="s">
        <v>66</v>
      </c>
    </row>
    <row r="11" ht="6.0" customHeight="1"/>
    <row r="12" ht="19.5" customHeight="1">
      <c r="A12" s="30" t="s">
        <v>67</v>
      </c>
      <c r="B12" s="7"/>
      <c r="C12" s="7"/>
      <c r="D12" s="7"/>
      <c r="E12" s="7"/>
      <c r="F12" s="7"/>
      <c r="G12" s="7"/>
    </row>
    <row r="13" ht="15.75" customHeight="1">
      <c r="A13" s="31"/>
      <c r="C13" s="31" t="s">
        <v>49</v>
      </c>
      <c r="D13" s="31" t="s">
        <v>50</v>
      </c>
      <c r="E13" s="31" t="s">
        <v>51</v>
      </c>
      <c r="F13" s="31" t="s">
        <v>52</v>
      </c>
      <c r="G13" s="31" t="s">
        <v>53</v>
      </c>
    </row>
    <row r="14" ht="51.75" customHeight="1">
      <c r="A14" s="32" t="s">
        <v>68</v>
      </c>
      <c r="C14" s="33" t="s">
        <v>69</v>
      </c>
      <c r="D14" s="33" t="s">
        <v>70</v>
      </c>
      <c r="E14" s="33" t="s">
        <v>71</v>
      </c>
      <c r="F14" s="33" t="s">
        <v>72</v>
      </c>
      <c r="G14" s="33" t="s">
        <v>73</v>
      </c>
    </row>
    <row r="15" ht="6.0" customHeight="1"/>
    <row r="16" ht="19.5" customHeight="1">
      <c r="A16" s="30" t="s">
        <v>74</v>
      </c>
      <c r="B16" s="7"/>
      <c r="C16" s="7"/>
      <c r="D16" s="7"/>
      <c r="E16" s="7"/>
      <c r="F16" s="7"/>
      <c r="G16" s="7"/>
    </row>
    <row r="17" ht="15.75" customHeight="1">
      <c r="A17" s="31"/>
      <c r="C17" s="31" t="s">
        <v>49</v>
      </c>
      <c r="D17" s="31" t="s">
        <v>50</v>
      </c>
      <c r="E17" s="31" t="s">
        <v>51</v>
      </c>
      <c r="F17" s="31" t="s">
        <v>52</v>
      </c>
      <c r="G17" s="31" t="s">
        <v>53</v>
      </c>
    </row>
    <row r="18" ht="51.75" customHeight="1">
      <c r="A18" s="32" t="s">
        <v>75</v>
      </c>
      <c r="C18" s="33" t="s">
        <v>76</v>
      </c>
      <c r="D18" s="33" t="s">
        <v>77</v>
      </c>
      <c r="E18" s="33" t="s">
        <v>78</v>
      </c>
      <c r="F18" s="33" t="s">
        <v>79</v>
      </c>
      <c r="G18" s="33" t="s">
        <v>80</v>
      </c>
    </row>
    <row r="19" ht="6.0" customHeight="1"/>
    <row r="20" ht="19.5" customHeight="1">
      <c r="A20" s="30" t="s">
        <v>81</v>
      </c>
      <c r="B20" s="7"/>
      <c r="C20" s="7"/>
      <c r="D20" s="7"/>
      <c r="E20" s="7"/>
      <c r="F20" s="7"/>
      <c r="G20" s="7"/>
    </row>
    <row r="21" ht="15.75" customHeight="1">
      <c r="A21" s="31"/>
      <c r="C21" s="31" t="s">
        <v>49</v>
      </c>
      <c r="D21" s="31" t="s">
        <v>50</v>
      </c>
      <c r="E21" s="31" t="s">
        <v>51</v>
      </c>
      <c r="F21" s="31" t="s">
        <v>52</v>
      </c>
      <c r="G21" s="31" t="s">
        <v>53</v>
      </c>
    </row>
    <row r="22" ht="51.75" customHeight="1">
      <c r="A22" s="32" t="s">
        <v>82</v>
      </c>
      <c r="C22" s="33" t="s">
        <v>83</v>
      </c>
      <c r="D22" s="33" t="s">
        <v>84</v>
      </c>
      <c r="E22" s="33" t="s">
        <v>85</v>
      </c>
      <c r="F22" s="33" t="s">
        <v>86</v>
      </c>
      <c r="G22" s="33" t="s">
        <v>87</v>
      </c>
    </row>
    <row r="23" ht="6.0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G4"/>
    <mergeCell ref="A8:G8"/>
    <mergeCell ref="A12:G12"/>
    <mergeCell ref="A16:G16"/>
    <mergeCell ref="A20:G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4" width="16.0"/>
    <col customWidth="1" min="5" max="5" width="40.0"/>
    <col customWidth="1" min="6" max="26" width="8.71"/>
  </cols>
  <sheetData>
    <row r="1" ht="27.75" customHeight="1">
      <c r="A1" s="28" t="s">
        <v>88</v>
      </c>
      <c r="B1" s="2"/>
      <c r="C1" s="2"/>
      <c r="D1" s="2"/>
      <c r="E1" s="2"/>
    </row>
    <row r="3" ht="19.5" customHeight="1">
      <c r="A3" s="34" t="s">
        <v>14</v>
      </c>
      <c r="B3" s="34" t="s">
        <v>89</v>
      </c>
      <c r="C3" s="34" t="s">
        <v>15</v>
      </c>
      <c r="D3" s="34" t="s">
        <v>16</v>
      </c>
      <c r="E3" s="34" t="s">
        <v>90</v>
      </c>
    </row>
    <row r="4" ht="48.0" customHeight="1">
      <c r="A4" s="35" t="s">
        <v>91</v>
      </c>
      <c r="B4" s="35" t="s">
        <v>92</v>
      </c>
      <c r="C4" s="36">
        <v>500.0</v>
      </c>
      <c r="D4" s="36">
        <v>1500.0</v>
      </c>
      <c r="E4" s="37" t="s">
        <v>93</v>
      </c>
      <c r="G4" s="38">
        <v>1000.0</v>
      </c>
      <c r="H4" s="38">
        <v>2500.0</v>
      </c>
    </row>
    <row r="5" ht="48.0" customHeight="1">
      <c r="A5" s="39" t="s">
        <v>94</v>
      </c>
      <c r="B5" s="39" t="s">
        <v>95</v>
      </c>
      <c r="C5" s="40">
        <v>1500.0</v>
      </c>
      <c r="D5" s="40">
        <v>4000.0</v>
      </c>
      <c r="E5" s="41" t="s">
        <v>96</v>
      </c>
      <c r="G5" s="38">
        <v>2600.0</v>
      </c>
      <c r="H5" s="38">
        <v>5000.0</v>
      </c>
    </row>
    <row r="6" ht="48.0" customHeight="1">
      <c r="A6" s="42" t="s">
        <v>97</v>
      </c>
      <c r="B6" s="42" t="s">
        <v>98</v>
      </c>
      <c r="C6" s="43">
        <v>4000.0</v>
      </c>
      <c r="D6" s="43">
        <v>10000.0</v>
      </c>
      <c r="E6" s="44" t="s">
        <v>99</v>
      </c>
      <c r="G6" s="38">
        <v>5100.0</v>
      </c>
      <c r="H6" s="38">
        <v>10000.0</v>
      </c>
    </row>
    <row r="7" ht="48.0" customHeight="1">
      <c r="A7" s="45" t="s">
        <v>100</v>
      </c>
      <c r="B7" s="45" t="s">
        <v>101</v>
      </c>
      <c r="C7" s="46">
        <v>10000.0</v>
      </c>
      <c r="D7" s="46">
        <v>25000.0</v>
      </c>
      <c r="E7" s="47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2026-04-16T04:19:02Z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